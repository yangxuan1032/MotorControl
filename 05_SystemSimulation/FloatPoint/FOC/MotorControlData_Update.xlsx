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MotorControl\05_SystemSimulation\FloatPoint\FOC\"/>
    </mc:Choice>
  </mc:AlternateContent>
  <xr:revisionPtr revIDLastSave="0" documentId="13_ncr:1_{2AAEED64-DBFD-4DBC-958A-45DF0E7BE7F1}" xr6:coauthVersionLast="47" xr6:coauthVersionMax="47" xr10:uidLastSave="{00000000-0000-0000-0000-000000000000}"/>
  <bookViews>
    <workbookView xWindow="30" yWindow="8595" windowWidth="38340" windowHeight="12390" activeTab="3" xr2:uid="{00000000-000D-0000-FFFF-FFFF00000000}"/>
  </bookViews>
  <sheets>
    <sheet name="Step1仿真参数设定" sheetId="1" r:id="rId1"/>
    <sheet name="Step2电机参数设定" sheetId="3" r:id="rId2"/>
    <sheet name="Step3硬件参数设定" sheetId="4" r:id="rId3"/>
    <sheet name="Step4控制参数设定" sheetId="10" r:id="rId4"/>
    <sheet name="Step5模型控制参数" sheetId="11" r:id="rId5"/>
    <sheet name="Step6枚举变量" sheetId="12" r:id="rId6"/>
    <sheet name="Step7调试变量" sheetId="13" r:id="rId7"/>
    <sheet name="Step8调试接口" sheetId="14" r:id="rId8"/>
    <sheet name="Step9查找表数据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C7" i="1"/>
  <c r="C6" i="1"/>
  <c r="C5" i="1"/>
  <c r="E5" i="1" l="1"/>
  <c r="E6" i="1"/>
</calcChain>
</file>

<file path=xl/sharedStrings.xml><?xml version="1.0" encoding="utf-8"?>
<sst xmlns="http://schemas.openxmlformats.org/spreadsheetml/2006/main" count="349" uniqueCount="183">
  <si>
    <t>DataType</t>
    <phoneticPr fontId="1" type="noConversion"/>
  </si>
  <si>
    <t>DataValue</t>
    <phoneticPr fontId="1" type="noConversion"/>
  </si>
  <si>
    <t>StorageClass</t>
    <phoneticPr fontId="1" type="noConversion"/>
  </si>
  <si>
    <t>CustomStorageClass</t>
    <phoneticPr fontId="1" type="noConversion"/>
  </si>
  <si>
    <t>Description</t>
    <phoneticPr fontId="1" type="noConversion"/>
  </si>
  <si>
    <t>DataValueMin</t>
    <phoneticPr fontId="1" type="noConversion"/>
  </si>
  <si>
    <t>DataValueMax</t>
    <phoneticPr fontId="1" type="noConversion"/>
  </si>
  <si>
    <t>double</t>
    <phoneticPr fontId="1" type="noConversion"/>
  </si>
  <si>
    <t>MC_Sim_BaseStep</t>
    <phoneticPr fontId="1" type="noConversion"/>
  </si>
  <si>
    <t>MC_Sim_HFTStep</t>
    <phoneticPr fontId="1" type="noConversion"/>
  </si>
  <si>
    <t>MC_Sim_MFTStep</t>
    <phoneticPr fontId="1" type="noConversion"/>
  </si>
  <si>
    <t>高频任务步长</t>
    <phoneticPr fontId="1" type="noConversion"/>
  </si>
  <si>
    <t>中频任务步长</t>
    <phoneticPr fontId="1" type="noConversion"/>
  </si>
  <si>
    <t>Unit</t>
    <phoneticPr fontId="1" type="noConversion"/>
  </si>
  <si>
    <t>Const</t>
    <phoneticPr fontId="1" type="noConversion"/>
  </si>
  <si>
    <t>Parameter Name</t>
    <phoneticPr fontId="1" type="noConversion"/>
  </si>
  <si>
    <t>MC_MotorModel_ModelType</t>
    <phoneticPr fontId="1" type="noConversion"/>
  </si>
  <si>
    <t>MC_MotorModel_WindingType</t>
    <phoneticPr fontId="1" type="noConversion"/>
  </si>
  <si>
    <t>电机模型类型</t>
    <phoneticPr fontId="1" type="noConversion"/>
  </si>
  <si>
    <t>电机绕组类型</t>
    <phoneticPr fontId="1" type="noConversion"/>
  </si>
  <si>
    <t>MC_MotorModel_SpeedMax</t>
    <phoneticPr fontId="1" type="noConversion"/>
  </si>
  <si>
    <t>MC_MotorModel_SpeedBase</t>
    <phoneticPr fontId="1" type="noConversion"/>
  </si>
  <si>
    <t>MC_MotorModel_Machine_Ineria</t>
    <phoneticPr fontId="1" type="noConversion"/>
  </si>
  <si>
    <t>MC_MotorModel_Machine_Damp</t>
    <phoneticPr fontId="1" type="noConversion"/>
  </si>
  <si>
    <t>MC_MotorModel_Machine_Tfric</t>
    <phoneticPr fontId="1" type="noConversion"/>
  </si>
  <si>
    <t>MC_MotorModel_Machine_TfCoff</t>
    <phoneticPr fontId="1" type="noConversion"/>
  </si>
  <si>
    <t>MC_MotorModel_Magentic_Psi</t>
    <phoneticPr fontId="1" type="noConversion"/>
  </si>
  <si>
    <t>MC_MotorModel_Stator_Ra</t>
    <phoneticPr fontId="1" type="noConversion"/>
  </si>
  <si>
    <t>MC_MotorModel_Stator_Rb</t>
    <phoneticPr fontId="1" type="noConversion"/>
  </si>
  <si>
    <t>MC_MotorModel_Stator_Rc</t>
    <phoneticPr fontId="1" type="noConversion"/>
  </si>
  <si>
    <t>MC_MotorModel_Stator_La</t>
    <phoneticPr fontId="1" type="noConversion"/>
  </si>
  <si>
    <t>MC_MotorModel_Stator_Lb</t>
    <phoneticPr fontId="1" type="noConversion"/>
  </si>
  <si>
    <t>MC_MotorModel_Stator_Lc</t>
    <phoneticPr fontId="1" type="noConversion"/>
  </si>
  <si>
    <t>MC_MotorModel_Stator_Ralpha</t>
    <phoneticPr fontId="1" type="noConversion"/>
  </si>
  <si>
    <t>MC_MotorModel_Stator_Rbeta</t>
    <phoneticPr fontId="1" type="noConversion"/>
  </si>
  <si>
    <t>MC_MotorModel_Stator_Lalpha</t>
    <phoneticPr fontId="1" type="noConversion"/>
  </si>
  <si>
    <t>MC_MotorModel_Stator_Lbeta</t>
    <phoneticPr fontId="1" type="noConversion"/>
  </si>
  <si>
    <t>MC_MotorModel_Stator_Lab</t>
    <phoneticPr fontId="1" type="noConversion"/>
  </si>
  <si>
    <t>MC_MotorModel_Stator_Ld</t>
    <phoneticPr fontId="1" type="noConversion"/>
  </si>
  <si>
    <t>MC_MotorModel_Stator_Rd</t>
    <phoneticPr fontId="1" type="noConversion"/>
  </si>
  <si>
    <t>MC_MotorModel_Stator_Rq</t>
    <phoneticPr fontId="1" type="noConversion"/>
  </si>
  <si>
    <t>MC_MotorModel_Stator_Lq</t>
    <phoneticPr fontId="1" type="noConversion"/>
  </si>
  <si>
    <t>MC_MotorModel_Stator_L0</t>
    <phoneticPr fontId="1" type="noConversion"/>
  </si>
  <si>
    <t>MC_MotorModel_Rotor_Pn</t>
    <phoneticPr fontId="1" type="noConversion"/>
  </si>
  <si>
    <t>MC_Sim_NoisePower_Vbus</t>
    <phoneticPr fontId="1" type="noConversion"/>
  </si>
  <si>
    <t>MC_Sim_NoisePower_Ibus</t>
    <phoneticPr fontId="1" type="noConversion"/>
  </si>
  <si>
    <t>MC_Sim_NoisePower_Tempature</t>
    <phoneticPr fontId="1" type="noConversion"/>
  </si>
  <si>
    <t>MC_Sim_NoisePower_AngleSensor</t>
    <phoneticPr fontId="1" type="noConversion"/>
  </si>
  <si>
    <t>MC_Sim_NoisePower_TorqueSensor</t>
    <phoneticPr fontId="1" type="noConversion"/>
  </si>
  <si>
    <t>MC_MotorModel_Magentic_Ke</t>
    <phoneticPr fontId="1" type="noConversion"/>
  </si>
  <si>
    <t>MC_MotorModel_PowerMax</t>
    <phoneticPr fontId="1" type="noConversion"/>
  </si>
  <si>
    <t>MC_Hardware_Input_Vbus</t>
    <phoneticPr fontId="1" type="noConversion"/>
  </si>
  <si>
    <t>MC_Hardware_Input_VbusMax</t>
    <phoneticPr fontId="1" type="noConversion"/>
  </si>
  <si>
    <t>MC_Hardware_Input_VbusMin</t>
    <phoneticPr fontId="1" type="noConversion"/>
  </si>
  <si>
    <t>MC_Hardware_Input_IbusMax</t>
    <phoneticPr fontId="1" type="noConversion"/>
  </si>
  <si>
    <t>MC_Hardawre_Chip_Type</t>
    <phoneticPr fontId="1" type="noConversion"/>
  </si>
  <si>
    <t>MC_Hardawre_Chip_PreDrive</t>
    <phoneticPr fontId="1" type="noConversion"/>
  </si>
  <si>
    <t>MC_Hardware_Chip_Clock</t>
    <phoneticPr fontId="1" type="noConversion"/>
  </si>
  <si>
    <t>MC_Hardware_Chip_PWMPeriod</t>
    <phoneticPr fontId="1" type="noConversion"/>
  </si>
  <si>
    <t>MC_Hardware_Chip_ADCClock</t>
    <phoneticPr fontId="1" type="noConversion"/>
  </si>
  <si>
    <t>MC_Hardware_Chip_ADCKeepPeriod</t>
    <phoneticPr fontId="1" type="noConversion"/>
  </si>
  <si>
    <t>MC_Hardware_Chip_ADCSamplePeriod</t>
    <phoneticPr fontId="1" type="noConversion"/>
  </si>
  <si>
    <t>MC_Hardware_Chip_ADCTransPeriod</t>
    <phoneticPr fontId="1" type="noConversion"/>
  </si>
  <si>
    <t>MC_Hardware_Chip_CSAFlag</t>
    <phoneticPr fontId="1" type="noConversion"/>
  </si>
  <si>
    <t>MC_Hardware_Chip_ADCVoltageMax</t>
    <phoneticPr fontId="1" type="noConversion"/>
  </si>
  <si>
    <t>MC_Hardware_Chip_ADCVoltageRefence</t>
    <phoneticPr fontId="1" type="noConversion"/>
  </si>
  <si>
    <t>MC_Hardware_Chip_ADCResultBit</t>
    <phoneticPr fontId="1" type="noConversion"/>
  </si>
  <si>
    <t>MC_Hardware_Chip_CSAGain</t>
    <phoneticPr fontId="1" type="noConversion"/>
  </si>
  <si>
    <t>MC_Hardware_MOS_Rds</t>
    <phoneticPr fontId="1" type="noConversion"/>
  </si>
  <si>
    <t>MC_Hardware_MOS_Cdg</t>
    <phoneticPr fontId="1" type="noConversion"/>
  </si>
  <si>
    <t>MC_Hardware_MOS_VgsTh</t>
    <phoneticPr fontId="1" type="noConversion"/>
  </si>
  <si>
    <t>MC_Hardware_MOS_DeadTime</t>
    <phoneticPr fontId="1" type="noConversion"/>
  </si>
  <si>
    <t>MC_Hardware_Senseor_AngleType</t>
    <phoneticPr fontId="1" type="noConversion"/>
  </si>
  <si>
    <t>MC_Hardware_Senseor_AngleFlag</t>
    <phoneticPr fontId="1" type="noConversion"/>
  </si>
  <si>
    <t>MC_Hardware_Senseor_AngleSignal</t>
    <phoneticPr fontId="1" type="noConversion"/>
  </si>
  <si>
    <t>MC_Hardware_Senseor_TorqueFlag</t>
    <phoneticPr fontId="1" type="noConversion"/>
  </si>
  <si>
    <t>MC_Hardware_Senseor_TorqueType</t>
    <phoneticPr fontId="1" type="noConversion"/>
  </si>
  <si>
    <t>MC_Hardware_Senseor_TorqueSignal</t>
    <phoneticPr fontId="1" type="noConversion"/>
  </si>
  <si>
    <t>MC_Hardware_Senseor_AngleSamplePeriod</t>
    <phoneticPr fontId="1" type="noConversion"/>
  </si>
  <si>
    <t>MC_Hardware_Senseor_TorqueSamplePeriod</t>
    <phoneticPr fontId="1" type="noConversion"/>
  </si>
  <si>
    <t>MC_Hardware_Sample_CurrentType</t>
    <phoneticPr fontId="1" type="noConversion"/>
  </si>
  <si>
    <t>MC_Hardware_Sample_Resistor</t>
    <phoneticPr fontId="1" type="noConversion"/>
  </si>
  <si>
    <t>MC_Hardware_Sample_VbusSamplePeriod</t>
    <phoneticPr fontId="1" type="noConversion"/>
  </si>
  <si>
    <t>MC_Hardware_Sample_VPhaseSampleFlag</t>
    <phoneticPr fontId="1" type="noConversion"/>
  </si>
  <si>
    <t>MC_Param_Init_1</t>
    <phoneticPr fontId="1" type="noConversion"/>
  </si>
  <si>
    <t>MC_Param_Ready_1</t>
    <phoneticPr fontId="1" type="noConversion"/>
  </si>
  <si>
    <t>MC_Param_Location_1</t>
    <phoneticPr fontId="1" type="noConversion"/>
  </si>
  <si>
    <t>MC_Param_Break_1</t>
    <phoneticPr fontId="1" type="noConversion"/>
  </si>
  <si>
    <t>MC_Param_Align_1</t>
    <phoneticPr fontId="1" type="noConversion"/>
  </si>
  <si>
    <t>MC_Param_Comple_1</t>
    <phoneticPr fontId="1" type="noConversion"/>
  </si>
  <si>
    <t>MC_Param_PositionLoop_EnableFlag</t>
    <phoneticPr fontId="1" type="noConversion"/>
  </si>
  <si>
    <t>MC_Param_PositionLoop_AlgorithmType</t>
    <phoneticPr fontId="1" type="noConversion"/>
  </si>
  <si>
    <t>MC_Param_SpeedLoop_EnableFlag</t>
    <phoneticPr fontId="1" type="noConversion"/>
  </si>
  <si>
    <t>MC_Param_SpeedLoop_AlgorithmType</t>
    <phoneticPr fontId="1" type="noConversion"/>
  </si>
  <si>
    <t>MC_Param_SpeedLoop_1</t>
    <phoneticPr fontId="1" type="noConversion"/>
  </si>
  <si>
    <t>MC_Param_TorqueLoop_EnableFlag</t>
    <phoneticPr fontId="1" type="noConversion"/>
  </si>
  <si>
    <t>MC_Param_TorqueLoop_AlgorithmType</t>
    <phoneticPr fontId="1" type="noConversion"/>
  </si>
  <si>
    <t>MC_Param_TorqueLoop_1</t>
    <phoneticPr fontId="1" type="noConversion"/>
  </si>
  <si>
    <t>MC_Param_CurrentLoop_EnableFlag</t>
    <phoneticPr fontId="1" type="noConversion"/>
  </si>
  <si>
    <t>MC_Param_CurrentLoop_AlgorithmType</t>
    <phoneticPr fontId="1" type="noConversion"/>
  </si>
  <si>
    <t>MC_Param_CurrentLoop_1</t>
    <phoneticPr fontId="1" type="noConversion"/>
  </si>
  <si>
    <t>MC_Param_SensorlessObservor_EnableFlag</t>
    <phoneticPr fontId="1" type="noConversion"/>
  </si>
  <si>
    <t>MC_Param_SensorlessObservor_AlgorithmType</t>
    <phoneticPr fontId="1" type="noConversion"/>
  </si>
  <si>
    <t>MC_Param_SensorlessObservor_1</t>
    <phoneticPr fontId="1" type="noConversion"/>
  </si>
  <si>
    <t>MC_Param_CurrentLimit_EnableFlag</t>
    <phoneticPr fontId="1" type="noConversion"/>
  </si>
  <si>
    <t>MC_Param_CurrentLimit_AlgorithmType</t>
    <phoneticPr fontId="1" type="noConversion"/>
  </si>
  <si>
    <t>MC_Param_PowerLimit_EnableFlag</t>
    <phoneticPr fontId="1" type="noConversion"/>
  </si>
  <si>
    <t>MC_Param_PowerLimit_AlgorithmType</t>
    <phoneticPr fontId="1" type="noConversion"/>
  </si>
  <si>
    <t>MC_Param_PowerLimit_1</t>
    <phoneticPr fontId="1" type="noConversion"/>
  </si>
  <si>
    <t>MC_Param_FaultDiagnosis_1</t>
    <phoneticPr fontId="1" type="noConversion"/>
  </si>
  <si>
    <t>MC_Param_SVPWM_AlgorithmType</t>
    <phoneticPr fontId="1" type="noConversion"/>
  </si>
  <si>
    <t>MC_Param_SVPWM_1</t>
    <phoneticPr fontId="1" type="noConversion"/>
  </si>
  <si>
    <t>MC_Param_CurrentReconstruction_AlgorithmType</t>
    <phoneticPr fontId="1" type="noConversion"/>
  </si>
  <si>
    <t>MC_Param_CurrentReconstruction_1</t>
    <phoneticPr fontId="1" type="noConversion"/>
  </si>
  <si>
    <t>MC_Param_LowPassFilter_X_EnableFlag</t>
    <phoneticPr fontId="1" type="noConversion"/>
  </si>
  <si>
    <t>MC_Param_LowPassFilter_X_BandWidth</t>
    <phoneticPr fontId="1" type="noConversion"/>
  </si>
  <si>
    <t>基础任务步长</t>
    <phoneticPr fontId="1" type="noConversion"/>
  </si>
  <si>
    <t>母线电压采样噪声</t>
    <phoneticPr fontId="1" type="noConversion"/>
  </si>
  <si>
    <t>母线电流采样噪声</t>
    <phoneticPr fontId="1" type="noConversion"/>
  </si>
  <si>
    <t>MC_Sim_NoisePower_PhaseCurrent</t>
    <phoneticPr fontId="1" type="noConversion"/>
  </si>
  <si>
    <t>温度采样噪声</t>
    <phoneticPr fontId="1" type="noConversion"/>
  </si>
  <si>
    <t>相电流采样噪声</t>
    <phoneticPr fontId="1" type="noConversion"/>
  </si>
  <si>
    <t>角度传感器采样噪声</t>
    <phoneticPr fontId="1" type="noConversion"/>
  </si>
  <si>
    <t>力矩传感器采样噪声</t>
    <phoneticPr fontId="1" type="noConversion"/>
  </si>
  <si>
    <t>MC_Sim_NoisePower_SpeedSensor</t>
    <phoneticPr fontId="1" type="noConversion"/>
  </si>
  <si>
    <t>转速传感器采样噪声</t>
    <phoneticPr fontId="1" type="noConversion"/>
  </si>
  <si>
    <t>NaN</t>
    <phoneticPr fontId="1" type="noConversion"/>
  </si>
  <si>
    <t>电机机械最大转速</t>
    <phoneticPr fontId="1" type="noConversion"/>
  </si>
  <si>
    <t>电机机械额定转速</t>
    <phoneticPr fontId="1" type="noConversion"/>
  </si>
  <si>
    <t>电机本体转动惯量</t>
    <phoneticPr fontId="1" type="noConversion"/>
  </si>
  <si>
    <t>电机输入最大功率</t>
    <phoneticPr fontId="1" type="noConversion"/>
  </si>
  <si>
    <t>电机本体转动阻尼</t>
    <phoneticPr fontId="1" type="noConversion"/>
  </si>
  <si>
    <t>电机本体静摩擦力矩</t>
    <phoneticPr fontId="1" type="noConversion"/>
  </si>
  <si>
    <t>电机机械动阻力系数</t>
    <phoneticPr fontId="1" type="noConversion"/>
  </si>
  <si>
    <t>电机本体反电势系数</t>
    <phoneticPr fontId="1" type="noConversion"/>
  </si>
  <si>
    <t>电机本体转子磁链</t>
    <phoneticPr fontId="1" type="noConversion"/>
  </si>
  <si>
    <t>电机定子A相电阻</t>
    <phoneticPr fontId="1" type="noConversion"/>
  </si>
  <si>
    <t>电机定子B相电阻</t>
    <phoneticPr fontId="1" type="noConversion"/>
  </si>
  <si>
    <t>电机定子C相电阻</t>
    <phoneticPr fontId="1" type="noConversion"/>
  </si>
  <si>
    <t>电机定子A相电感</t>
    <phoneticPr fontId="1" type="noConversion"/>
  </si>
  <si>
    <t>电机定子B相电感</t>
    <phoneticPr fontId="1" type="noConversion"/>
  </si>
  <si>
    <t>电机定子C相电感</t>
    <phoneticPr fontId="1" type="noConversion"/>
  </si>
  <si>
    <t>电机定子Alpha/Beta互电感</t>
    <phoneticPr fontId="1" type="noConversion"/>
  </si>
  <si>
    <t>电机定子D轴电感</t>
    <phoneticPr fontId="1" type="noConversion"/>
  </si>
  <si>
    <t>电机定子Alpha轴电阻</t>
    <phoneticPr fontId="1" type="noConversion"/>
  </si>
  <si>
    <t>电机定子Beta轴电阻</t>
    <phoneticPr fontId="1" type="noConversion"/>
  </si>
  <si>
    <t>电机定子Alpha轴电感</t>
    <phoneticPr fontId="1" type="noConversion"/>
  </si>
  <si>
    <t>电机定子Beta轴电感</t>
    <phoneticPr fontId="1" type="noConversion"/>
  </si>
  <si>
    <t>电机定子Q轴电感</t>
    <phoneticPr fontId="1" type="noConversion"/>
  </si>
  <si>
    <t>电机定子D轴电阻</t>
    <phoneticPr fontId="1" type="noConversion"/>
  </si>
  <si>
    <t>电机定子Q轴电阻</t>
    <phoneticPr fontId="1" type="noConversion"/>
  </si>
  <si>
    <t>电机定子零序电感</t>
    <phoneticPr fontId="1" type="noConversion"/>
  </si>
  <si>
    <t>电机极对数</t>
    <phoneticPr fontId="1" type="noConversion"/>
  </si>
  <si>
    <t>MC_Sim_BaseFreq</t>
    <phoneticPr fontId="1" type="noConversion"/>
  </si>
  <si>
    <t>MC_Sim_MFTFreq</t>
    <phoneticPr fontId="1" type="noConversion"/>
  </si>
  <si>
    <t>MC_Sim_HFTFreq</t>
    <phoneticPr fontId="1" type="noConversion"/>
  </si>
  <si>
    <t>基础时钟频率</t>
    <phoneticPr fontId="1" type="noConversion"/>
  </si>
  <si>
    <t>高频任务频率</t>
    <phoneticPr fontId="1" type="noConversion"/>
  </si>
  <si>
    <t>中频任务频率</t>
    <phoneticPr fontId="1" type="noConversion"/>
  </si>
  <si>
    <t>Hz</t>
    <phoneticPr fontId="1" type="noConversion"/>
  </si>
  <si>
    <t>s</t>
    <phoneticPr fontId="1" type="noConversion"/>
  </si>
  <si>
    <t>/</t>
    <phoneticPr fontId="1" type="noConversion"/>
  </si>
  <si>
    <t>硬件额定电压</t>
    <phoneticPr fontId="1" type="noConversion"/>
  </si>
  <si>
    <t>硬件最大电压</t>
    <phoneticPr fontId="1" type="noConversion"/>
  </si>
  <si>
    <t>硬件最小电压</t>
    <phoneticPr fontId="1" type="noConversion"/>
  </si>
  <si>
    <t>母线电流最大值</t>
    <phoneticPr fontId="1" type="noConversion"/>
  </si>
  <si>
    <t>硬件MCU类型</t>
    <phoneticPr fontId="1" type="noConversion"/>
  </si>
  <si>
    <t>硬件预驱类型</t>
    <phoneticPr fontId="1" type="noConversion"/>
  </si>
  <si>
    <t>硬件MCU主时钟</t>
    <phoneticPr fontId="1" type="noConversion"/>
  </si>
  <si>
    <t>硬件ADC时钟</t>
    <phoneticPr fontId="1" type="noConversion"/>
  </si>
  <si>
    <t>硬件ADC采样保持周期</t>
    <phoneticPr fontId="1" type="noConversion"/>
  </si>
  <si>
    <t>硬件ADC采样周期</t>
    <phoneticPr fontId="1" type="noConversion"/>
  </si>
  <si>
    <t>硬件ADC转换周期</t>
    <phoneticPr fontId="1" type="noConversion"/>
  </si>
  <si>
    <t>硬件ADC参考电压</t>
    <phoneticPr fontId="1" type="noConversion"/>
  </si>
  <si>
    <t>硬件ADC最大电压</t>
    <phoneticPr fontId="1" type="noConversion"/>
  </si>
  <si>
    <t>硬件ADC位数</t>
    <phoneticPr fontId="1" type="noConversion"/>
  </si>
  <si>
    <t>硬件CSA标志位</t>
    <phoneticPr fontId="1" type="noConversion"/>
  </si>
  <si>
    <t>硬件CSA放大倍数</t>
    <phoneticPr fontId="1" type="noConversion"/>
  </si>
  <si>
    <t>硬件PWM周期</t>
    <phoneticPr fontId="1" type="noConversion"/>
  </si>
  <si>
    <t>硬件MOS管内阻</t>
    <phoneticPr fontId="1" type="noConversion"/>
  </si>
  <si>
    <t>硬件MOS管</t>
    <phoneticPr fontId="1" type="noConversion"/>
  </si>
  <si>
    <t>MC_Param_PositionLoop_Kp</t>
    <phoneticPr fontId="1" type="noConversion"/>
  </si>
  <si>
    <t>MC_Param_PositionLoop_ErrThreshold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</si>
</sst>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11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selection activeCell="K10" sqref="K10"/>
    </sheetView>
  </sheetViews>
  <sheetFormatPr defaultRowHeight="13.9" x14ac:dyDescent="0.4"/>
  <cols>
    <col min="1" max="1" width="31.86328125" style="2" customWidth="1"/>
    <col min="2" max="2" width="14.265625" style="2" customWidth="1"/>
    <col min="3" max="3" width="29.06640625" style="18" customWidth="1"/>
    <col min="4" max="5" width="13.3984375" style="2" customWidth="1"/>
    <col min="6" max="6" width="12.46484375" style="2" customWidth="1"/>
    <col min="7" max="7" width="19.1328125" style="2" customWidth="1"/>
    <col min="8" max="8" width="30.3984375" style="2" customWidth="1"/>
    <col min="9" max="9" width="13.3984375" style="6" customWidth="1"/>
  </cols>
  <sheetData>
    <row r="1" spans="1:12" s="3" customFormat="1" ht="20.25" customHeight="1" x14ac:dyDescent="0.4">
      <c r="A1" s="1" t="s">
        <v>15</v>
      </c>
      <c r="B1" s="1" t="s">
        <v>0</v>
      </c>
      <c r="C1" s="17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2" spans="1:12" x14ac:dyDescent="0.4">
      <c r="A2" s="2" t="s">
        <v>153</v>
      </c>
      <c r="B2" s="2" t="s">
        <v>7</v>
      </c>
      <c r="C2" s="18">
        <v>40000000</v>
      </c>
      <c r="D2" s="2">
        <v>0</v>
      </c>
      <c r="E2" s="4">
        <v>1000000000</v>
      </c>
      <c r="F2" s="5" t="s">
        <v>14</v>
      </c>
      <c r="G2" s="2" t="s">
        <v>126</v>
      </c>
      <c r="H2" s="2" t="s">
        <v>156</v>
      </c>
      <c r="I2" s="2" t="s">
        <v>159</v>
      </c>
      <c r="J2" s="8"/>
      <c r="K2" s="8"/>
      <c r="L2" s="8"/>
    </row>
    <row r="3" spans="1:12" x14ac:dyDescent="0.4">
      <c r="A3" s="2" t="s">
        <v>155</v>
      </c>
      <c r="B3" s="2" t="s">
        <v>7</v>
      </c>
      <c r="C3" s="18">
        <v>15000</v>
      </c>
      <c r="D3" s="2">
        <v>0</v>
      </c>
      <c r="E3" s="4">
        <f>C2/100</f>
        <v>400000</v>
      </c>
      <c r="F3" s="5" t="s">
        <v>14</v>
      </c>
      <c r="G3" s="2" t="s">
        <v>126</v>
      </c>
      <c r="H3" s="2" t="s">
        <v>157</v>
      </c>
      <c r="I3" s="2" t="s">
        <v>159</v>
      </c>
      <c r="J3" s="8"/>
      <c r="K3" s="8"/>
      <c r="L3" s="8"/>
    </row>
    <row r="4" spans="1:12" x14ac:dyDescent="0.4">
      <c r="A4" s="2" t="s">
        <v>154</v>
      </c>
      <c r="B4" s="2" t="s">
        <v>7</v>
      </c>
      <c r="C4" s="18">
        <v>500</v>
      </c>
      <c r="D4" s="2">
        <v>0</v>
      </c>
      <c r="E4" s="4">
        <f>C3/10</f>
        <v>1500</v>
      </c>
      <c r="F4" s="5" t="s">
        <v>14</v>
      </c>
      <c r="G4" s="2" t="s">
        <v>126</v>
      </c>
      <c r="H4" s="2" t="s">
        <v>158</v>
      </c>
      <c r="I4" s="2" t="s">
        <v>159</v>
      </c>
      <c r="J4" s="8"/>
      <c r="K4" s="8"/>
      <c r="L4" s="8"/>
    </row>
    <row r="5" spans="1:12" x14ac:dyDescent="0.4">
      <c r="A5" s="2" t="s">
        <v>8</v>
      </c>
      <c r="B5" s="2" t="s">
        <v>7</v>
      </c>
      <c r="C5" s="18">
        <f>ROUND(1/C2,13)</f>
        <v>2.4999999999999999E-8</v>
      </c>
      <c r="D5" s="2">
        <v>0</v>
      </c>
      <c r="E5" s="4">
        <f>C6/100</f>
        <v>6.6674999999999991E-7</v>
      </c>
      <c r="F5" s="5" t="s">
        <v>14</v>
      </c>
      <c r="G5" s="2" t="s">
        <v>126</v>
      </c>
      <c r="H5" s="2" t="s">
        <v>116</v>
      </c>
      <c r="I5" s="2" t="s">
        <v>160</v>
      </c>
      <c r="J5" s="8"/>
      <c r="K5" s="8"/>
      <c r="L5" s="8"/>
    </row>
    <row r="6" spans="1:12" x14ac:dyDescent="0.4">
      <c r="A6" s="2" t="s">
        <v>9</v>
      </c>
      <c r="B6" s="2" t="s">
        <v>7</v>
      </c>
      <c r="C6" s="18">
        <f>ROUND((C2/C3),0)*C5</f>
        <v>6.6674999999999994E-5</v>
      </c>
      <c r="D6" s="2">
        <v>0</v>
      </c>
      <c r="E6" s="4">
        <f>C7/10</f>
        <v>2.00025E-4</v>
      </c>
      <c r="F6" s="5" t="s">
        <v>14</v>
      </c>
      <c r="G6" s="2" t="s">
        <v>126</v>
      </c>
      <c r="H6" s="2" t="s">
        <v>11</v>
      </c>
      <c r="I6" s="2" t="s">
        <v>160</v>
      </c>
      <c r="J6" s="8"/>
      <c r="K6" s="8"/>
      <c r="L6" s="8"/>
    </row>
    <row r="7" spans="1:12" x14ac:dyDescent="0.4">
      <c r="A7" s="2" t="s">
        <v>10</v>
      </c>
      <c r="B7" s="2" t="s">
        <v>7</v>
      </c>
      <c r="C7" s="18">
        <f>ROUND((C3/C4),0)*C6</f>
        <v>2.0002499999999999E-3</v>
      </c>
      <c r="D7" s="2">
        <v>0</v>
      </c>
      <c r="E7" s="2">
        <v>1</v>
      </c>
      <c r="F7" s="5" t="s">
        <v>14</v>
      </c>
      <c r="G7" s="2" t="s">
        <v>126</v>
      </c>
      <c r="H7" s="2" t="s">
        <v>12</v>
      </c>
      <c r="I7" s="2" t="s">
        <v>160</v>
      </c>
      <c r="J7" s="8"/>
      <c r="K7" s="8"/>
      <c r="L7" s="8"/>
    </row>
    <row r="8" spans="1:12" x14ac:dyDescent="0.4">
      <c r="A8" s="2" t="s">
        <v>44</v>
      </c>
      <c r="B8" s="2" t="s">
        <v>7</v>
      </c>
      <c r="C8" s="18">
        <v>0</v>
      </c>
      <c r="D8" s="2">
        <v>0</v>
      </c>
      <c r="E8" s="2">
        <v>1</v>
      </c>
      <c r="F8" s="5" t="s">
        <v>14</v>
      </c>
      <c r="G8" s="2" t="s">
        <v>126</v>
      </c>
      <c r="H8" s="2" t="s">
        <v>117</v>
      </c>
      <c r="I8" s="2" t="s">
        <v>161</v>
      </c>
      <c r="J8" s="8"/>
      <c r="K8" s="8"/>
      <c r="L8" s="8"/>
    </row>
    <row r="9" spans="1:12" x14ac:dyDescent="0.4">
      <c r="A9" s="2" t="s">
        <v>45</v>
      </c>
      <c r="B9" s="2" t="s">
        <v>7</v>
      </c>
      <c r="C9" s="18">
        <v>0</v>
      </c>
      <c r="D9" s="2">
        <v>0</v>
      </c>
      <c r="E9" s="2">
        <v>1</v>
      </c>
      <c r="F9" s="5" t="s">
        <v>14</v>
      </c>
      <c r="G9" s="2" t="s">
        <v>126</v>
      </c>
      <c r="H9" s="2" t="s">
        <v>118</v>
      </c>
      <c r="I9" s="2" t="s">
        <v>161</v>
      </c>
      <c r="J9" s="8"/>
      <c r="K9" s="8"/>
      <c r="L9" s="8"/>
    </row>
    <row r="10" spans="1:12" x14ac:dyDescent="0.4">
      <c r="A10" s="2" t="s">
        <v>46</v>
      </c>
      <c r="B10" s="2" t="s">
        <v>7</v>
      </c>
      <c r="C10" s="18">
        <v>0</v>
      </c>
      <c r="D10" s="2">
        <v>0</v>
      </c>
      <c r="E10" s="2">
        <v>1</v>
      </c>
      <c r="F10" s="5" t="s">
        <v>14</v>
      </c>
      <c r="G10" s="2" t="s">
        <v>126</v>
      </c>
      <c r="H10" s="5" t="s">
        <v>120</v>
      </c>
      <c r="I10" s="2" t="s">
        <v>161</v>
      </c>
      <c r="J10" s="8"/>
      <c r="K10" s="8"/>
      <c r="L10" s="8"/>
    </row>
    <row r="11" spans="1:12" x14ac:dyDescent="0.4">
      <c r="A11" s="2" t="s">
        <v>119</v>
      </c>
      <c r="B11" s="2" t="s">
        <v>7</v>
      </c>
      <c r="C11" s="18">
        <v>0</v>
      </c>
      <c r="D11" s="2">
        <v>0</v>
      </c>
      <c r="E11" s="2">
        <v>1</v>
      </c>
      <c r="F11" s="5" t="s">
        <v>14</v>
      </c>
      <c r="G11" s="2" t="s">
        <v>126</v>
      </c>
      <c r="H11" s="2" t="s">
        <v>121</v>
      </c>
      <c r="I11" s="2" t="s">
        <v>161</v>
      </c>
      <c r="J11" s="8"/>
      <c r="K11" s="8"/>
      <c r="L11" s="8"/>
    </row>
    <row r="12" spans="1:12" x14ac:dyDescent="0.4">
      <c r="A12" s="2" t="s">
        <v>47</v>
      </c>
      <c r="B12" s="2" t="s">
        <v>7</v>
      </c>
      <c r="C12" s="18">
        <v>0</v>
      </c>
      <c r="D12" s="2">
        <v>0</v>
      </c>
      <c r="E12" s="2">
        <v>1</v>
      </c>
      <c r="F12" s="5" t="s">
        <v>14</v>
      </c>
      <c r="G12" s="2" t="s">
        <v>126</v>
      </c>
      <c r="H12" s="2" t="s">
        <v>122</v>
      </c>
      <c r="I12" s="2" t="s">
        <v>161</v>
      </c>
      <c r="J12" s="8"/>
      <c r="K12" s="8"/>
      <c r="L12" s="8"/>
    </row>
    <row r="13" spans="1:12" x14ac:dyDescent="0.4">
      <c r="A13" s="2" t="s">
        <v>124</v>
      </c>
      <c r="B13" s="2" t="s">
        <v>7</v>
      </c>
      <c r="C13" s="18">
        <v>0</v>
      </c>
      <c r="D13" s="2">
        <v>0</v>
      </c>
      <c r="E13" s="2">
        <v>1</v>
      </c>
      <c r="F13" s="5" t="s">
        <v>14</v>
      </c>
      <c r="G13" s="2" t="s">
        <v>126</v>
      </c>
      <c r="H13" s="2" t="s">
        <v>125</v>
      </c>
      <c r="I13" s="2" t="s">
        <v>161</v>
      </c>
      <c r="J13" s="8"/>
      <c r="K13" s="8"/>
      <c r="L13" s="8"/>
    </row>
    <row r="14" spans="1:12" x14ac:dyDescent="0.4">
      <c r="A14" s="2" t="s">
        <v>48</v>
      </c>
      <c r="B14" s="2" t="s">
        <v>7</v>
      </c>
      <c r="C14" s="18">
        <v>0</v>
      </c>
      <c r="D14" s="2">
        <v>0</v>
      </c>
      <c r="E14" s="2">
        <v>1</v>
      </c>
      <c r="F14" s="5" t="s">
        <v>14</v>
      </c>
      <c r="G14" s="2" t="s">
        <v>126</v>
      </c>
      <c r="H14" s="2" t="s">
        <v>123</v>
      </c>
      <c r="I14" s="2" t="s">
        <v>161</v>
      </c>
      <c r="J14" s="8"/>
      <c r="K14" s="8"/>
      <c r="L14" s="8"/>
    </row>
    <row r="15" spans="1:12" x14ac:dyDescent="0.4">
      <c r="I15" s="2"/>
      <c r="J15" s="8"/>
      <c r="K15" s="8"/>
      <c r="L15" s="8"/>
    </row>
    <row r="16" spans="1:12" x14ac:dyDescent="0.4">
      <c r="I16" s="2"/>
      <c r="J16" s="8"/>
      <c r="K16" s="8"/>
      <c r="L16" s="8"/>
    </row>
    <row r="17" spans="9:12" x14ac:dyDescent="0.4">
      <c r="I17" s="2"/>
      <c r="J17" s="8"/>
      <c r="K17" s="8"/>
      <c r="L17" s="8"/>
    </row>
    <row r="18" spans="9:12" x14ac:dyDescent="0.4">
      <c r="I18" s="2"/>
      <c r="J18" s="8"/>
      <c r="K18" s="8"/>
      <c r="L18" s="8"/>
    </row>
    <row r="19" spans="9:12" x14ac:dyDescent="0.4">
      <c r="I19" s="2"/>
      <c r="J19" s="8"/>
      <c r="K19" s="8"/>
      <c r="L19" s="8"/>
    </row>
    <row r="20" spans="9:12" x14ac:dyDescent="0.4">
      <c r="I20" s="2"/>
      <c r="J20" s="8"/>
      <c r="K20" s="8"/>
      <c r="L20" s="8"/>
    </row>
    <row r="21" spans="9:12" x14ac:dyDescent="0.4">
      <c r="I21" s="2"/>
      <c r="J21" s="8"/>
      <c r="K21" s="8"/>
      <c r="L21" s="8"/>
    </row>
    <row r="22" spans="9:12" x14ac:dyDescent="0.4">
      <c r="I22" s="2"/>
      <c r="J22" s="8"/>
      <c r="K22" s="8"/>
      <c r="L22" s="8"/>
    </row>
    <row r="23" spans="9:12" x14ac:dyDescent="0.4">
      <c r="I23" s="2"/>
      <c r="J23" s="8"/>
      <c r="K23" s="8"/>
      <c r="L23" s="8"/>
    </row>
    <row r="24" spans="9:12" x14ac:dyDescent="0.4">
      <c r="I24" s="2"/>
      <c r="J24" s="8"/>
      <c r="K24" s="8"/>
      <c r="L24" s="8"/>
    </row>
    <row r="25" spans="9:12" x14ac:dyDescent="0.4">
      <c r="I25" s="2"/>
      <c r="J25" s="8"/>
      <c r="K25" s="8"/>
      <c r="L25" s="8"/>
    </row>
    <row r="26" spans="9:12" x14ac:dyDescent="0.4">
      <c r="I26" s="2"/>
      <c r="J26" s="8"/>
      <c r="K26" s="8"/>
      <c r="L26" s="8"/>
    </row>
    <row r="27" spans="9:12" x14ac:dyDescent="0.4">
      <c r="I27" s="2"/>
      <c r="J27" s="8"/>
      <c r="K27" s="8"/>
      <c r="L27" s="8"/>
    </row>
    <row r="28" spans="9:12" x14ac:dyDescent="0.4">
      <c r="I28" s="2"/>
      <c r="J28" s="8"/>
      <c r="K28" s="8"/>
      <c r="L28" s="8"/>
    </row>
    <row r="29" spans="9:12" x14ac:dyDescent="0.4">
      <c r="I29" s="2"/>
      <c r="J29" s="8"/>
      <c r="K29" s="8"/>
      <c r="L29" s="8"/>
    </row>
    <row r="30" spans="9:12" x14ac:dyDescent="0.4">
      <c r="I30" s="2"/>
      <c r="J30" s="8"/>
      <c r="K30" s="8"/>
      <c r="L30" s="8"/>
    </row>
    <row r="31" spans="9:12" x14ac:dyDescent="0.4">
      <c r="I31" s="2"/>
      <c r="J31" s="8"/>
      <c r="K31" s="8"/>
      <c r="L31" s="8"/>
    </row>
    <row r="32" spans="9:12" x14ac:dyDescent="0.4">
      <c r="I32" s="2"/>
      <c r="J32" s="8"/>
      <c r="K32" s="8"/>
      <c r="L32" s="8"/>
    </row>
    <row r="33" spans="5:12" x14ac:dyDescent="0.4">
      <c r="H33" s="5"/>
      <c r="I33" s="2"/>
      <c r="J33" s="8"/>
      <c r="K33" s="8"/>
      <c r="L33" s="8"/>
    </row>
    <row r="34" spans="5:12" x14ac:dyDescent="0.4">
      <c r="E34" s="4"/>
      <c r="I34" s="2"/>
      <c r="J34" s="8"/>
      <c r="K34" s="8"/>
      <c r="L34" s="8"/>
    </row>
    <row r="35" spans="5:12" x14ac:dyDescent="0.4">
      <c r="I35" s="2"/>
      <c r="J35" s="8"/>
      <c r="K35" s="8"/>
      <c r="L35" s="8"/>
    </row>
    <row r="36" spans="5:12" x14ac:dyDescent="0.4">
      <c r="I36" s="2"/>
      <c r="J36" s="8"/>
      <c r="K36" s="8"/>
      <c r="L36" s="8"/>
    </row>
    <row r="37" spans="5:12" x14ac:dyDescent="0.4">
      <c r="H37" s="5"/>
      <c r="I37" s="2"/>
      <c r="J37" s="8"/>
      <c r="K37" s="8"/>
      <c r="L37" s="8"/>
    </row>
    <row r="38" spans="5:12" x14ac:dyDescent="0.4">
      <c r="H38" s="5"/>
      <c r="I38" s="2"/>
      <c r="J38" s="8"/>
      <c r="K38" s="8"/>
      <c r="L38" s="8"/>
    </row>
    <row r="39" spans="5:12" x14ac:dyDescent="0.4">
      <c r="I39" s="2"/>
      <c r="J39" s="8"/>
      <c r="K39" s="8"/>
      <c r="L39" s="8"/>
    </row>
    <row r="40" spans="5:12" x14ac:dyDescent="0.4">
      <c r="E40" s="4"/>
      <c r="I40" s="2"/>
      <c r="J40" s="8"/>
      <c r="K40" s="8"/>
      <c r="L40" s="8"/>
    </row>
    <row r="41" spans="5:12" x14ac:dyDescent="0.4">
      <c r="I41" s="2"/>
      <c r="J41" s="8"/>
      <c r="K41" s="8"/>
      <c r="L41" s="8"/>
    </row>
    <row r="42" spans="5:12" x14ac:dyDescent="0.4">
      <c r="I42" s="2"/>
      <c r="J42" s="8"/>
      <c r="K42" s="8"/>
      <c r="L42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9796-439D-4218-8351-215451A32352}">
  <dimension ref="A1:I29"/>
  <sheetViews>
    <sheetView workbookViewId="0">
      <selection activeCell="H15" sqref="H15"/>
    </sheetView>
  </sheetViews>
  <sheetFormatPr defaultRowHeight="13.9" x14ac:dyDescent="0.4"/>
  <cols>
    <col min="1" max="1" width="34.53125" style="2" customWidth="1"/>
    <col min="2" max="2" width="11.46484375" style="2" customWidth="1"/>
    <col min="3" max="3" width="12" style="2" customWidth="1"/>
    <col min="4" max="4" width="14.46484375" style="2" customWidth="1"/>
    <col min="5" max="5" width="15.265625" style="2" customWidth="1"/>
    <col min="6" max="6" width="14.265625" style="2" customWidth="1"/>
    <col min="7" max="7" width="21.1328125" style="2" customWidth="1"/>
    <col min="8" max="8" width="23.46484375" style="2" customWidth="1"/>
    <col min="9" max="9" width="13.3984375" style="6" customWidth="1"/>
  </cols>
  <sheetData>
    <row r="1" spans="1:9" s="3" customFormat="1" ht="20.25" customHeight="1" x14ac:dyDescent="0.4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2" spans="1:9" x14ac:dyDescent="0.4">
      <c r="A2" s="2" t="s">
        <v>16</v>
      </c>
      <c r="B2" s="2" t="s">
        <v>7</v>
      </c>
      <c r="C2" s="2">
        <v>0</v>
      </c>
      <c r="D2" s="2">
        <v>0</v>
      </c>
      <c r="E2" s="2">
        <v>1</v>
      </c>
      <c r="F2" s="5" t="s">
        <v>14</v>
      </c>
      <c r="G2" s="2" t="s">
        <v>126</v>
      </c>
      <c r="H2" s="2" t="s">
        <v>18</v>
      </c>
    </row>
    <row r="3" spans="1:9" x14ac:dyDescent="0.4">
      <c r="A3" s="2" t="s">
        <v>17</v>
      </c>
      <c r="B3" s="2" t="s">
        <v>7</v>
      </c>
      <c r="C3" s="2">
        <v>0</v>
      </c>
      <c r="D3" s="2">
        <v>0</v>
      </c>
      <c r="E3" s="2">
        <v>1</v>
      </c>
      <c r="F3" s="5" t="s">
        <v>14</v>
      </c>
      <c r="G3" s="2" t="s">
        <v>126</v>
      </c>
      <c r="H3" s="2" t="s">
        <v>19</v>
      </c>
    </row>
    <row r="4" spans="1:9" x14ac:dyDescent="0.4">
      <c r="A4" s="2" t="s">
        <v>20</v>
      </c>
      <c r="B4" s="2" t="s">
        <v>7</v>
      </c>
      <c r="C4" s="2">
        <v>0</v>
      </c>
      <c r="D4" s="2">
        <v>0</v>
      </c>
      <c r="E4" s="2">
        <v>1</v>
      </c>
      <c r="F4" s="5" t="s">
        <v>14</v>
      </c>
      <c r="G4" s="2" t="s">
        <v>126</v>
      </c>
      <c r="H4" s="2" t="s">
        <v>127</v>
      </c>
    </row>
    <row r="5" spans="1:9" x14ac:dyDescent="0.4">
      <c r="A5" s="2" t="s">
        <v>21</v>
      </c>
      <c r="B5" s="2" t="s">
        <v>7</v>
      </c>
      <c r="C5" s="2">
        <v>0</v>
      </c>
      <c r="D5" s="2">
        <v>0</v>
      </c>
      <c r="E5" s="2">
        <v>1</v>
      </c>
      <c r="F5" s="5" t="s">
        <v>14</v>
      </c>
      <c r="G5" s="2" t="s">
        <v>126</v>
      </c>
      <c r="H5" s="2" t="s">
        <v>128</v>
      </c>
    </row>
    <row r="6" spans="1:9" s="3" customFormat="1" x14ac:dyDescent="0.4">
      <c r="A6" s="2" t="s">
        <v>50</v>
      </c>
      <c r="B6" s="2" t="s">
        <v>7</v>
      </c>
      <c r="C6" s="2">
        <v>0</v>
      </c>
      <c r="D6" s="2">
        <v>0</v>
      </c>
      <c r="E6" s="2">
        <v>1</v>
      </c>
      <c r="F6" s="5" t="s">
        <v>14</v>
      </c>
      <c r="G6" s="2" t="s">
        <v>126</v>
      </c>
      <c r="H6" s="2" t="s">
        <v>130</v>
      </c>
      <c r="I6" s="2"/>
    </row>
    <row r="7" spans="1:9" x14ac:dyDescent="0.4">
      <c r="A7" s="15" t="s">
        <v>22</v>
      </c>
      <c r="B7" s="2" t="s">
        <v>7</v>
      </c>
      <c r="C7" s="15">
        <v>0</v>
      </c>
      <c r="D7" s="2">
        <v>0</v>
      </c>
      <c r="E7" s="2">
        <v>1</v>
      </c>
      <c r="F7" s="5" t="s">
        <v>14</v>
      </c>
      <c r="G7" s="2" t="s">
        <v>126</v>
      </c>
      <c r="H7" s="15" t="s">
        <v>129</v>
      </c>
      <c r="I7" s="16"/>
    </row>
    <row r="8" spans="1:9" x14ac:dyDescent="0.4">
      <c r="A8" s="2" t="s">
        <v>23</v>
      </c>
      <c r="B8" s="2" t="s">
        <v>7</v>
      </c>
      <c r="C8" s="2">
        <v>0</v>
      </c>
      <c r="D8" s="2">
        <v>0</v>
      </c>
      <c r="E8" s="2">
        <v>1</v>
      </c>
      <c r="F8" s="5" t="s">
        <v>14</v>
      </c>
      <c r="G8" s="2" t="s">
        <v>126</v>
      </c>
      <c r="H8" s="2" t="s">
        <v>131</v>
      </c>
    </row>
    <row r="9" spans="1:9" x14ac:dyDescent="0.4">
      <c r="A9" s="2" t="s">
        <v>24</v>
      </c>
      <c r="B9" s="2" t="s">
        <v>7</v>
      </c>
      <c r="C9" s="2">
        <v>0</v>
      </c>
      <c r="D9" s="2">
        <v>0</v>
      </c>
      <c r="E9" s="2">
        <v>1</v>
      </c>
      <c r="F9" s="5" t="s">
        <v>14</v>
      </c>
      <c r="G9" s="2" t="s">
        <v>126</v>
      </c>
      <c r="H9" s="2" t="s">
        <v>132</v>
      </c>
    </row>
    <row r="10" spans="1:9" x14ac:dyDescent="0.4">
      <c r="A10" s="2" t="s">
        <v>25</v>
      </c>
      <c r="B10" s="2" t="s">
        <v>7</v>
      </c>
      <c r="C10" s="2">
        <v>0</v>
      </c>
      <c r="D10" s="2">
        <v>0</v>
      </c>
      <c r="E10" s="2">
        <v>1</v>
      </c>
      <c r="F10" s="5" t="s">
        <v>14</v>
      </c>
      <c r="G10" s="2" t="s">
        <v>126</v>
      </c>
      <c r="H10" s="2" t="s">
        <v>133</v>
      </c>
    </row>
    <row r="11" spans="1:9" x14ac:dyDescent="0.4">
      <c r="A11" s="2" t="s">
        <v>49</v>
      </c>
      <c r="B11" s="2" t="s">
        <v>7</v>
      </c>
      <c r="C11" s="2">
        <v>0</v>
      </c>
      <c r="D11" s="2">
        <v>0</v>
      </c>
      <c r="E11" s="2">
        <v>1</v>
      </c>
      <c r="F11" s="5" t="s">
        <v>14</v>
      </c>
      <c r="G11" s="2" t="s">
        <v>126</v>
      </c>
      <c r="H11" s="2" t="s">
        <v>134</v>
      </c>
    </row>
    <row r="12" spans="1:9" x14ac:dyDescent="0.4">
      <c r="A12" s="2" t="s">
        <v>26</v>
      </c>
      <c r="B12" s="2" t="s">
        <v>7</v>
      </c>
      <c r="C12" s="2">
        <v>0</v>
      </c>
      <c r="D12" s="2">
        <v>0</v>
      </c>
      <c r="E12" s="2">
        <v>1</v>
      </c>
      <c r="F12" s="5" t="s">
        <v>14</v>
      </c>
      <c r="G12" s="2" t="s">
        <v>126</v>
      </c>
      <c r="H12" s="2" t="s">
        <v>135</v>
      </c>
    </row>
    <row r="13" spans="1:9" x14ac:dyDescent="0.4">
      <c r="A13" s="2" t="s">
        <v>27</v>
      </c>
      <c r="B13" s="2" t="s">
        <v>7</v>
      </c>
      <c r="C13" s="2">
        <v>0</v>
      </c>
      <c r="D13" s="2">
        <v>0</v>
      </c>
      <c r="E13" s="2">
        <v>1</v>
      </c>
      <c r="F13" s="5" t="s">
        <v>14</v>
      </c>
      <c r="G13" s="2" t="s">
        <v>126</v>
      </c>
      <c r="H13" s="2" t="s">
        <v>136</v>
      </c>
    </row>
    <row r="14" spans="1:9" x14ac:dyDescent="0.4">
      <c r="A14" s="2" t="s">
        <v>28</v>
      </c>
      <c r="B14" s="2" t="s">
        <v>7</v>
      </c>
      <c r="C14" s="2">
        <v>0</v>
      </c>
      <c r="D14" s="2">
        <v>0</v>
      </c>
      <c r="E14" s="2">
        <v>1</v>
      </c>
      <c r="F14" s="5" t="s">
        <v>14</v>
      </c>
      <c r="G14" s="2" t="s">
        <v>126</v>
      </c>
      <c r="H14" s="2" t="s">
        <v>137</v>
      </c>
    </row>
    <row r="15" spans="1:9" x14ac:dyDescent="0.4">
      <c r="A15" s="2" t="s">
        <v>29</v>
      </c>
      <c r="B15" s="2" t="s">
        <v>7</v>
      </c>
      <c r="C15" s="2">
        <v>0</v>
      </c>
      <c r="D15" s="2">
        <v>0</v>
      </c>
      <c r="E15" s="2">
        <v>1</v>
      </c>
      <c r="F15" s="5" t="s">
        <v>14</v>
      </c>
      <c r="G15" s="2" t="s">
        <v>126</v>
      </c>
      <c r="H15" s="2" t="s">
        <v>138</v>
      </c>
    </row>
    <row r="16" spans="1:9" x14ac:dyDescent="0.4">
      <c r="A16" s="2" t="s">
        <v>30</v>
      </c>
      <c r="B16" s="2" t="s">
        <v>7</v>
      </c>
      <c r="C16" s="2">
        <v>0</v>
      </c>
      <c r="D16" s="2">
        <v>0</v>
      </c>
      <c r="E16" s="2">
        <v>1</v>
      </c>
      <c r="F16" s="5" t="s">
        <v>14</v>
      </c>
      <c r="G16" s="2" t="s">
        <v>126</v>
      </c>
      <c r="H16" s="2" t="s">
        <v>139</v>
      </c>
    </row>
    <row r="17" spans="1:8" x14ac:dyDescent="0.4">
      <c r="A17" s="2" t="s">
        <v>31</v>
      </c>
      <c r="B17" s="2" t="s">
        <v>7</v>
      </c>
      <c r="C17" s="2">
        <v>0</v>
      </c>
      <c r="D17" s="2">
        <v>0</v>
      </c>
      <c r="E17" s="2">
        <v>1</v>
      </c>
      <c r="F17" s="5" t="s">
        <v>14</v>
      </c>
      <c r="G17" s="2" t="s">
        <v>126</v>
      </c>
      <c r="H17" s="2" t="s">
        <v>140</v>
      </c>
    </row>
    <row r="18" spans="1:8" x14ac:dyDescent="0.4">
      <c r="A18" s="2" t="s">
        <v>32</v>
      </c>
      <c r="B18" s="2" t="s">
        <v>7</v>
      </c>
      <c r="C18" s="2">
        <v>0</v>
      </c>
      <c r="D18" s="2">
        <v>0</v>
      </c>
      <c r="E18" s="2">
        <v>1</v>
      </c>
      <c r="F18" s="5" t="s">
        <v>14</v>
      </c>
      <c r="G18" s="2" t="s">
        <v>126</v>
      </c>
      <c r="H18" s="2" t="s">
        <v>141</v>
      </c>
    </row>
    <row r="19" spans="1:8" x14ac:dyDescent="0.4">
      <c r="A19" s="2" t="s">
        <v>33</v>
      </c>
      <c r="B19" s="2" t="s">
        <v>7</v>
      </c>
      <c r="C19" s="2">
        <v>0</v>
      </c>
      <c r="D19" s="2">
        <v>0</v>
      </c>
      <c r="E19" s="2">
        <v>1</v>
      </c>
      <c r="F19" s="5" t="s">
        <v>14</v>
      </c>
      <c r="G19" s="2" t="s">
        <v>126</v>
      </c>
      <c r="H19" s="2" t="s">
        <v>144</v>
      </c>
    </row>
    <row r="20" spans="1:8" x14ac:dyDescent="0.4">
      <c r="A20" s="2" t="s">
        <v>34</v>
      </c>
      <c r="B20" s="2" t="s">
        <v>7</v>
      </c>
      <c r="C20" s="2">
        <v>0</v>
      </c>
      <c r="D20" s="2">
        <v>0</v>
      </c>
      <c r="E20" s="2">
        <v>1</v>
      </c>
      <c r="F20" s="5" t="s">
        <v>14</v>
      </c>
      <c r="G20" s="2" t="s">
        <v>126</v>
      </c>
      <c r="H20" s="2" t="s">
        <v>145</v>
      </c>
    </row>
    <row r="21" spans="1:8" x14ac:dyDescent="0.4">
      <c r="A21" s="2" t="s">
        <v>35</v>
      </c>
      <c r="B21" s="2" t="s">
        <v>7</v>
      </c>
      <c r="C21" s="2">
        <v>0</v>
      </c>
      <c r="D21" s="2">
        <v>0</v>
      </c>
      <c r="E21" s="2">
        <v>1</v>
      </c>
      <c r="F21" s="5" t="s">
        <v>14</v>
      </c>
      <c r="G21" s="2" t="s">
        <v>126</v>
      </c>
      <c r="H21" s="2" t="s">
        <v>146</v>
      </c>
    </row>
    <row r="22" spans="1:8" x14ac:dyDescent="0.4">
      <c r="A22" s="2" t="s">
        <v>36</v>
      </c>
      <c r="B22" s="2" t="s">
        <v>7</v>
      </c>
      <c r="C22" s="2">
        <v>0</v>
      </c>
      <c r="D22" s="2">
        <v>0</v>
      </c>
      <c r="E22" s="2">
        <v>1</v>
      </c>
      <c r="F22" s="5" t="s">
        <v>14</v>
      </c>
      <c r="G22" s="2" t="s">
        <v>126</v>
      </c>
      <c r="H22" s="2" t="s">
        <v>147</v>
      </c>
    </row>
    <row r="23" spans="1:8" x14ac:dyDescent="0.4">
      <c r="A23" s="2" t="s">
        <v>37</v>
      </c>
      <c r="B23" s="2" t="s">
        <v>7</v>
      </c>
      <c r="C23" s="2">
        <v>0</v>
      </c>
      <c r="D23" s="2">
        <v>0</v>
      </c>
      <c r="E23" s="2">
        <v>1</v>
      </c>
      <c r="F23" s="5" t="s">
        <v>14</v>
      </c>
      <c r="G23" s="2" t="s">
        <v>126</v>
      </c>
      <c r="H23" s="2" t="s">
        <v>142</v>
      </c>
    </row>
    <row r="24" spans="1:8" x14ac:dyDescent="0.4">
      <c r="A24" s="2" t="s">
        <v>39</v>
      </c>
      <c r="B24" s="2" t="s">
        <v>7</v>
      </c>
      <c r="C24" s="2">
        <v>0</v>
      </c>
      <c r="D24" s="2">
        <v>0</v>
      </c>
      <c r="E24" s="2">
        <v>1</v>
      </c>
      <c r="F24" s="5" t="s">
        <v>14</v>
      </c>
      <c r="G24" s="2" t="s">
        <v>126</v>
      </c>
      <c r="H24" s="2" t="s">
        <v>149</v>
      </c>
    </row>
    <row r="25" spans="1:8" x14ac:dyDescent="0.4">
      <c r="A25" s="2" t="s">
        <v>40</v>
      </c>
      <c r="B25" s="2" t="s">
        <v>7</v>
      </c>
      <c r="C25" s="2">
        <v>0</v>
      </c>
      <c r="D25" s="2">
        <v>0</v>
      </c>
      <c r="E25" s="2">
        <v>1</v>
      </c>
      <c r="F25" s="5" t="s">
        <v>14</v>
      </c>
      <c r="G25" s="2" t="s">
        <v>126</v>
      </c>
      <c r="H25" s="2" t="s">
        <v>150</v>
      </c>
    </row>
    <row r="26" spans="1:8" x14ac:dyDescent="0.4">
      <c r="A26" s="2" t="s">
        <v>38</v>
      </c>
      <c r="B26" s="2" t="s">
        <v>7</v>
      </c>
      <c r="C26" s="2">
        <v>0</v>
      </c>
      <c r="D26" s="2">
        <v>0</v>
      </c>
      <c r="E26" s="2">
        <v>1</v>
      </c>
      <c r="F26" s="5" t="s">
        <v>14</v>
      </c>
      <c r="G26" s="2" t="s">
        <v>126</v>
      </c>
      <c r="H26" s="2" t="s">
        <v>143</v>
      </c>
    </row>
    <row r="27" spans="1:8" x14ac:dyDescent="0.4">
      <c r="A27" s="2" t="s">
        <v>41</v>
      </c>
      <c r="B27" s="2" t="s">
        <v>7</v>
      </c>
      <c r="C27" s="2">
        <v>0</v>
      </c>
      <c r="D27" s="2">
        <v>0</v>
      </c>
      <c r="E27" s="2">
        <v>1</v>
      </c>
      <c r="F27" s="5" t="s">
        <v>14</v>
      </c>
      <c r="G27" s="2" t="s">
        <v>126</v>
      </c>
      <c r="H27" s="2" t="s">
        <v>148</v>
      </c>
    </row>
    <row r="28" spans="1:8" x14ac:dyDescent="0.4">
      <c r="A28" s="2" t="s">
        <v>42</v>
      </c>
      <c r="B28" s="2" t="s">
        <v>7</v>
      </c>
      <c r="C28" s="2">
        <v>0</v>
      </c>
      <c r="D28" s="2">
        <v>0</v>
      </c>
      <c r="E28" s="2">
        <v>1</v>
      </c>
      <c r="F28" s="5" t="s">
        <v>14</v>
      </c>
      <c r="G28" s="2" t="s">
        <v>126</v>
      </c>
      <c r="H28" s="2" t="s">
        <v>151</v>
      </c>
    </row>
    <row r="29" spans="1:8" x14ac:dyDescent="0.4">
      <c r="A29" s="2" t="s">
        <v>43</v>
      </c>
      <c r="B29" s="2" t="s">
        <v>7</v>
      </c>
      <c r="C29" s="2">
        <v>0</v>
      </c>
      <c r="D29" s="2">
        <v>0</v>
      </c>
      <c r="E29" s="2">
        <v>1</v>
      </c>
      <c r="F29" s="5" t="s">
        <v>14</v>
      </c>
      <c r="G29" s="2" t="s">
        <v>126</v>
      </c>
      <c r="H29" s="2" t="s">
        <v>152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938-6B5D-40C1-8F40-515C706BD968}">
  <dimension ref="A1:J66"/>
  <sheetViews>
    <sheetView topLeftCell="A13" workbookViewId="0">
      <selection activeCell="D28" sqref="D28"/>
    </sheetView>
  </sheetViews>
  <sheetFormatPr defaultRowHeight="13.9" x14ac:dyDescent="0.4"/>
  <cols>
    <col min="1" max="1" width="45.59765625" style="5" customWidth="1"/>
    <col min="2" max="2" width="15.73046875" style="5" customWidth="1"/>
    <col min="3" max="3" width="10.265625" style="5" customWidth="1"/>
    <col min="4" max="5" width="13.3984375" style="5" customWidth="1"/>
    <col min="6" max="6" width="12.46484375" style="5" customWidth="1"/>
    <col min="7" max="7" width="19.1328125" style="5" customWidth="1"/>
    <col min="8" max="8" width="13.3984375" style="5" customWidth="1"/>
    <col min="9" max="9" width="13.3984375" style="14" customWidth="1"/>
  </cols>
  <sheetData>
    <row r="1" spans="1:9" s="3" customFormat="1" ht="20.25" customHeight="1" x14ac:dyDescent="0.4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3" t="s">
        <v>13</v>
      </c>
    </row>
    <row r="2" spans="1:9" x14ac:dyDescent="0.4">
      <c r="A2" s="5" t="s">
        <v>51</v>
      </c>
      <c r="H2" s="5" t="s">
        <v>162</v>
      </c>
    </row>
    <row r="3" spans="1:9" x14ac:dyDescent="0.4">
      <c r="A3" s="5" t="s">
        <v>52</v>
      </c>
      <c r="H3" s="5" t="s">
        <v>163</v>
      </c>
    </row>
    <row r="4" spans="1:9" x14ac:dyDescent="0.4">
      <c r="A4" s="5" t="s">
        <v>53</v>
      </c>
      <c r="H4" s="5" t="s">
        <v>164</v>
      </c>
    </row>
    <row r="5" spans="1:9" ht="27.75" x14ac:dyDescent="0.4">
      <c r="A5" s="5" t="s">
        <v>54</v>
      </c>
      <c r="C5" s="9"/>
      <c r="E5" s="9"/>
      <c r="H5" s="5" t="s">
        <v>165</v>
      </c>
    </row>
    <row r="6" spans="1:9" x14ac:dyDescent="0.4">
      <c r="A6" s="5" t="s">
        <v>55</v>
      </c>
      <c r="H6" s="5" t="s">
        <v>166</v>
      </c>
    </row>
    <row r="7" spans="1:9" x14ac:dyDescent="0.4">
      <c r="A7" s="5" t="s">
        <v>56</v>
      </c>
      <c r="H7" s="5" t="s">
        <v>167</v>
      </c>
    </row>
    <row r="8" spans="1:9" ht="27.75" x14ac:dyDescent="0.4">
      <c r="A8" s="5" t="s">
        <v>57</v>
      </c>
      <c r="E8" s="9"/>
      <c r="H8" s="5" t="s">
        <v>168</v>
      </c>
    </row>
    <row r="9" spans="1:9" x14ac:dyDescent="0.4">
      <c r="A9" s="5" t="s">
        <v>59</v>
      </c>
      <c r="E9" s="9"/>
      <c r="H9" s="5" t="s">
        <v>169</v>
      </c>
    </row>
    <row r="10" spans="1:9" ht="27.75" x14ac:dyDescent="0.4">
      <c r="A10" s="5" t="s">
        <v>60</v>
      </c>
      <c r="E10" s="9"/>
      <c r="H10" s="5" t="s">
        <v>170</v>
      </c>
    </row>
    <row r="11" spans="1:9" ht="27.75" x14ac:dyDescent="0.4">
      <c r="A11" s="5" t="s">
        <v>61</v>
      </c>
      <c r="E11" s="9"/>
      <c r="H11" s="5" t="s">
        <v>171</v>
      </c>
    </row>
    <row r="12" spans="1:9" ht="27.75" x14ac:dyDescent="0.4">
      <c r="A12" s="5" t="s">
        <v>62</v>
      </c>
      <c r="D12" s="9"/>
      <c r="E12" s="9"/>
      <c r="H12" s="5" t="s">
        <v>172</v>
      </c>
    </row>
    <row r="13" spans="1:9" ht="27.75" x14ac:dyDescent="0.4">
      <c r="A13" s="5" t="s">
        <v>64</v>
      </c>
      <c r="D13" s="9"/>
      <c r="E13" s="9"/>
      <c r="H13" s="5" t="s">
        <v>174</v>
      </c>
    </row>
    <row r="14" spans="1:9" ht="27.75" x14ac:dyDescent="0.4">
      <c r="A14" s="5" t="s">
        <v>65</v>
      </c>
      <c r="D14" s="9"/>
      <c r="E14" s="9"/>
      <c r="H14" s="5" t="s">
        <v>173</v>
      </c>
    </row>
    <row r="15" spans="1:9" x14ac:dyDescent="0.4">
      <c r="A15" s="5" t="s">
        <v>66</v>
      </c>
      <c r="D15" s="9"/>
      <c r="E15" s="9"/>
      <c r="H15" s="5" t="s">
        <v>175</v>
      </c>
    </row>
    <row r="16" spans="1:9" ht="27.75" x14ac:dyDescent="0.4">
      <c r="A16" s="5" t="s">
        <v>63</v>
      </c>
      <c r="D16" s="9"/>
      <c r="E16" s="9"/>
      <c r="H16" s="5" t="s">
        <v>176</v>
      </c>
    </row>
    <row r="17" spans="1:8" ht="27.75" x14ac:dyDescent="0.4">
      <c r="A17" s="5" t="s">
        <v>67</v>
      </c>
      <c r="D17" s="9"/>
      <c r="E17" s="9"/>
      <c r="H17" s="5" t="s">
        <v>177</v>
      </c>
    </row>
    <row r="18" spans="1:8" x14ac:dyDescent="0.4">
      <c r="A18" s="5" t="s">
        <v>58</v>
      </c>
      <c r="D18" s="9"/>
      <c r="E18" s="9"/>
      <c r="H18" s="5" t="s">
        <v>178</v>
      </c>
    </row>
    <row r="19" spans="1:8" ht="27.75" x14ac:dyDescent="0.4">
      <c r="A19" s="5" t="s">
        <v>68</v>
      </c>
      <c r="D19" s="9"/>
      <c r="E19" s="9"/>
      <c r="H19" s="5" t="s">
        <v>179</v>
      </c>
    </row>
    <row r="20" spans="1:8" x14ac:dyDescent="0.4">
      <c r="A20" s="5" t="s">
        <v>69</v>
      </c>
      <c r="D20" s="9"/>
      <c r="E20" s="9"/>
      <c r="H20" s="5" t="s">
        <v>180</v>
      </c>
    </row>
    <row r="21" spans="1:8" x14ac:dyDescent="0.4">
      <c r="A21" s="5" t="s">
        <v>70</v>
      </c>
    </row>
    <row r="22" spans="1:8" x14ac:dyDescent="0.4">
      <c r="A22" s="5" t="s">
        <v>71</v>
      </c>
      <c r="E22" s="9"/>
    </row>
    <row r="23" spans="1:8" x14ac:dyDescent="0.4">
      <c r="A23" s="5" t="s">
        <v>73</v>
      </c>
      <c r="E23" s="9"/>
    </row>
    <row r="24" spans="1:8" x14ac:dyDescent="0.4">
      <c r="A24" s="5" t="s">
        <v>72</v>
      </c>
    </row>
    <row r="25" spans="1:8" x14ac:dyDescent="0.4">
      <c r="A25" s="5" t="s">
        <v>74</v>
      </c>
    </row>
    <row r="26" spans="1:8" x14ac:dyDescent="0.4">
      <c r="A26" s="5" t="s">
        <v>78</v>
      </c>
    </row>
    <row r="27" spans="1:8" x14ac:dyDescent="0.4">
      <c r="A27" s="5" t="s">
        <v>75</v>
      </c>
    </row>
    <row r="28" spans="1:8" x14ac:dyDescent="0.4">
      <c r="A28" s="5" t="s">
        <v>76</v>
      </c>
    </row>
    <row r="29" spans="1:8" x14ac:dyDescent="0.4">
      <c r="A29" s="5" t="s">
        <v>77</v>
      </c>
    </row>
    <row r="30" spans="1:8" x14ac:dyDescent="0.4">
      <c r="A30" s="5" t="s">
        <v>79</v>
      </c>
    </row>
    <row r="31" spans="1:8" x14ac:dyDescent="0.4">
      <c r="A31" s="5" t="s">
        <v>80</v>
      </c>
    </row>
    <row r="32" spans="1:8" x14ac:dyDescent="0.4">
      <c r="A32" s="5" t="s">
        <v>81</v>
      </c>
    </row>
    <row r="33" spans="1:8" x14ac:dyDescent="0.4">
      <c r="A33" s="5" t="s">
        <v>82</v>
      </c>
    </row>
    <row r="34" spans="1:8" x14ac:dyDescent="0.4">
      <c r="A34" s="5" t="s">
        <v>83</v>
      </c>
    </row>
    <row r="39" spans="1:8" x14ac:dyDescent="0.4">
      <c r="A39" s="10"/>
      <c r="B39" s="10"/>
      <c r="C39" s="10"/>
      <c r="D39" s="10"/>
      <c r="E39" s="10"/>
      <c r="F39" s="10"/>
      <c r="G39" s="10"/>
      <c r="H39" s="10"/>
    </row>
    <row r="40" spans="1:8" x14ac:dyDescent="0.4">
      <c r="C40" s="9"/>
      <c r="E40" s="9"/>
    </row>
    <row r="41" spans="1:8" x14ac:dyDescent="0.4">
      <c r="C41" s="9"/>
      <c r="E41" s="9"/>
    </row>
    <row r="42" spans="1:8" x14ac:dyDescent="0.4">
      <c r="C42" s="9"/>
      <c r="E42" s="9"/>
    </row>
    <row r="43" spans="1:8" x14ac:dyDescent="0.4">
      <c r="C43" s="9"/>
      <c r="E43" s="9"/>
    </row>
    <row r="44" spans="1:8" x14ac:dyDescent="0.4">
      <c r="C44" s="9"/>
      <c r="E44" s="9"/>
    </row>
    <row r="45" spans="1:8" ht="28.5" customHeight="1" x14ac:dyDescent="0.4">
      <c r="C45" s="9"/>
      <c r="D45" s="9"/>
      <c r="E45" s="9"/>
    </row>
    <row r="46" spans="1:8" x14ac:dyDescent="0.4">
      <c r="C46" s="9"/>
      <c r="D46" s="9"/>
      <c r="E46" s="9"/>
    </row>
    <row r="47" spans="1:8" x14ac:dyDescent="0.4">
      <c r="C47" s="9"/>
      <c r="D47" s="9"/>
      <c r="E47" s="9"/>
    </row>
    <row r="48" spans="1:8" x14ac:dyDescent="0.4">
      <c r="C48" s="9"/>
      <c r="D48" s="9"/>
      <c r="E48" s="9"/>
    </row>
    <row r="49" spans="3:10" x14ac:dyDescent="0.4">
      <c r="C49" s="9"/>
      <c r="D49" s="9"/>
      <c r="E49" s="9"/>
      <c r="J49" s="7"/>
    </row>
    <row r="50" spans="3:10" x14ac:dyDescent="0.4">
      <c r="C50" s="9"/>
      <c r="D50" s="9"/>
      <c r="E50" s="9"/>
    </row>
    <row r="51" spans="3:10" x14ac:dyDescent="0.4">
      <c r="C51" s="9"/>
      <c r="D51" s="9"/>
      <c r="E51" s="9"/>
    </row>
    <row r="52" spans="3:10" x14ac:dyDescent="0.4">
      <c r="C52" s="9"/>
      <c r="D52" s="9"/>
      <c r="E52" s="9"/>
    </row>
    <row r="53" spans="3:10" x14ac:dyDescent="0.4">
      <c r="E53" s="9"/>
    </row>
    <row r="54" spans="3:10" x14ac:dyDescent="0.4">
      <c r="E54" s="9"/>
    </row>
    <row r="55" spans="3:10" x14ac:dyDescent="0.4">
      <c r="E55" s="9"/>
    </row>
    <row r="56" spans="3:10" x14ac:dyDescent="0.4">
      <c r="E56" s="9"/>
    </row>
    <row r="57" spans="3:10" x14ac:dyDescent="0.4">
      <c r="E57" s="9"/>
    </row>
    <row r="58" spans="3:10" x14ac:dyDescent="0.4">
      <c r="E58" s="9"/>
    </row>
    <row r="59" spans="3:10" x14ac:dyDescent="0.4">
      <c r="E59" s="9"/>
    </row>
    <row r="60" spans="3:10" x14ac:dyDescent="0.4">
      <c r="E60" s="9"/>
    </row>
    <row r="61" spans="3:10" x14ac:dyDescent="0.4">
      <c r="E61" s="9"/>
    </row>
    <row r="64" spans="3:10" x14ac:dyDescent="0.4">
      <c r="C64" s="9"/>
    </row>
    <row r="65" spans="5:5" x14ac:dyDescent="0.4">
      <c r="E65" s="9"/>
    </row>
    <row r="66" spans="5:5" x14ac:dyDescent="0.4">
      <c r="E66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1D81-98E2-49F4-9AC8-A86DA594205F}">
  <dimension ref="A1:I44"/>
  <sheetViews>
    <sheetView tabSelected="1" workbookViewId="0">
      <selection activeCell="A11" sqref="A11"/>
    </sheetView>
  </sheetViews>
  <sheetFormatPr defaultRowHeight="13.9" x14ac:dyDescent="0.4"/>
  <cols>
    <col min="1" max="1" width="49.86328125" style="6" customWidth="1"/>
    <col min="2" max="2" width="19.86328125" style="6" customWidth="1"/>
    <col min="3" max="3" width="23.265625" style="6" customWidth="1"/>
    <col min="4" max="4" width="22" style="6" customWidth="1"/>
    <col min="5" max="5" width="26.265625" style="6" customWidth="1"/>
    <col min="6" max="6" width="26.86328125" style="6" customWidth="1"/>
    <col min="7" max="7" width="27" style="6" customWidth="1"/>
    <col min="8" max="8" width="25" style="6" customWidth="1"/>
    <col min="9" max="9" width="16.46484375" style="6" customWidth="1"/>
  </cols>
  <sheetData>
    <row r="1" spans="1:9" x14ac:dyDescent="0.4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2" spans="1:9" x14ac:dyDescent="0.4">
      <c r="A2" s="6" t="s">
        <v>84</v>
      </c>
    </row>
    <row r="3" spans="1:9" x14ac:dyDescent="0.4">
      <c r="A3" s="6" t="s">
        <v>85</v>
      </c>
    </row>
    <row r="4" spans="1:9" x14ac:dyDescent="0.4">
      <c r="A4" s="6" t="s">
        <v>86</v>
      </c>
    </row>
    <row r="5" spans="1:9" x14ac:dyDescent="0.4">
      <c r="A5" s="6" t="s">
        <v>87</v>
      </c>
    </row>
    <row r="6" spans="1:9" x14ac:dyDescent="0.4">
      <c r="A6" s="6" t="s">
        <v>88</v>
      </c>
    </row>
    <row r="7" spans="1:9" x14ac:dyDescent="0.4">
      <c r="A7" s="6" t="s">
        <v>89</v>
      </c>
    </row>
    <row r="8" spans="1:9" x14ac:dyDescent="0.4">
      <c r="A8" s="6" t="s">
        <v>90</v>
      </c>
    </row>
    <row r="9" spans="1:9" x14ac:dyDescent="0.4">
      <c r="A9" s="6" t="s">
        <v>91</v>
      </c>
    </row>
    <row r="10" spans="1:9" x14ac:dyDescent="0.4">
      <c r="A10" s="6" t="s">
        <v>181</v>
      </c>
    </row>
    <row r="11" spans="1:9" x14ac:dyDescent="0.4">
      <c r="A11" s="6" t="s">
        <v>182</v>
      </c>
    </row>
    <row r="12" spans="1:9" x14ac:dyDescent="0.4">
      <c r="A12" s="6" t="s">
        <v>92</v>
      </c>
    </row>
    <row r="13" spans="1:9" x14ac:dyDescent="0.4">
      <c r="A13" s="6" t="s">
        <v>93</v>
      </c>
    </row>
    <row r="14" spans="1:9" x14ac:dyDescent="0.4">
      <c r="A14" s="6" t="s">
        <v>94</v>
      </c>
    </row>
    <row r="15" spans="1:9" x14ac:dyDescent="0.4">
      <c r="A15" s="6" t="s">
        <v>95</v>
      </c>
    </row>
    <row r="16" spans="1:9" x14ac:dyDescent="0.4">
      <c r="A16" s="6" t="s">
        <v>96</v>
      </c>
    </row>
    <row r="17" spans="1:1" x14ac:dyDescent="0.4">
      <c r="A17" s="6" t="s">
        <v>97</v>
      </c>
    </row>
    <row r="18" spans="1:1" x14ac:dyDescent="0.4">
      <c r="A18" s="6" t="s">
        <v>98</v>
      </c>
    </row>
    <row r="19" spans="1:1" x14ac:dyDescent="0.4">
      <c r="A19" s="6" t="s">
        <v>99</v>
      </c>
    </row>
    <row r="20" spans="1:1" x14ac:dyDescent="0.4">
      <c r="A20" s="6" t="s">
        <v>100</v>
      </c>
    </row>
    <row r="21" spans="1:1" x14ac:dyDescent="0.4">
      <c r="A21" s="6" t="s">
        <v>101</v>
      </c>
    </row>
    <row r="22" spans="1:1" x14ac:dyDescent="0.4">
      <c r="A22" s="6" t="s">
        <v>102</v>
      </c>
    </row>
    <row r="23" spans="1:1" x14ac:dyDescent="0.4">
      <c r="A23" s="6" t="s">
        <v>103</v>
      </c>
    </row>
    <row r="24" spans="1:1" x14ac:dyDescent="0.4">
      <c r="A24" s="6" t="s">
        <v>110</v>
      </c>
    </row>
    <row r="25" spans="1:1" x14ac:dyDescent="0.4">
      <c r="A25" s="6" t="s">
        <v>111</v>
      </c>
    </row>
    <row r="26" spans="1:1" x14ac:dyDescent="0.4">
      <c r="A26" s="6" t="s">
        <v>112</v>
      </c>
    </row>
    <row r="27" spans="1:1" x14ac:dyDescent="0.4">
      <c r="A27" s="6" t="s">
        <v>113</v>
      </c>
    </row>
    <row r="33" spans="1:1" x14ac:dyDescent="0.4">
      <c r="A33" s="6" t="s">
        <v>104</v>
      </c>
    </row>
    <row r="34" spans="1:1" x14ac:dyDescent="0.4">
      <c r="A34" s="6" t="s">
        <v>105</v>
      </c>
    </row>
    <row r="35" spans="1:1" x14ac:dyDescent="0.4">
      <c r="A35" s="6" t="s">
        <v>106</v>
      </c>
    </row>
    <row r="36" spans="1:1" x14ac:dyDescent="0.4">
      <c r="A36" s="6" t="s">
        <v>107</v>
      </c>
    </row>
    <row r="37" spans="1:1" x14ac:dyDescent="0.4">
      <c r="A37" s="6" t="s">
        <v>108</v>
      </c>
    </row>
    <row r="39" spans="1:1" x14ac:dyDescent="0.4">
      <c r="A39" s="6" t="s">
        <v>114</v>
      </c>
    </row>
    <row r="40" spans="1:1" x14ac:dyDescent="0.4">
      <c r="A40" s="6" t="s">
        <v>115</v>
      </c>
    </row>
    <row r="44" spans="1:1" x14ac:dyDescent="0.4">
      <c r="A44" s="6" t="s">
        <v>109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72D6-0A56-45A8-92ED-038F25DA5357}">
  <dimension ref="A1:S55"/>
  <sheetViews>
    <sheetView workbookViewId="0">
      <selection activeCell="J5" sqref="J5"/>
    </sheetView>
  </sheetViews>
  <sheetFormatPr defaultRowHeight="13.9" x14ac:dyDescent="0.4"/>
  <cols>
    <col min="1" max="1" width="17.265625" style="11" customWidth="1"/>
    <col min="2" max="2" width="14.73046875" style="11" customWidth="1"/>
    <col min="3" max="3" width="15.46484375" style="11" customWidth="1"/>
    <col min="4" max="4" width="15.59765625" style="11" customWidth="1"/>
    <col min="5" max="5" width="14.86328125" style="11" customWidth="1"/>
    <col min="6" max="6" width="19.1328125" style="11" customWidth="1"/>
    <col min="7" max="7" width="21.265625" style="11" customWidth="1"/>
    <col min="8" max="8" width="15.1328125" style="11" customWidth="1"/>
    <col min="9" max="9" width="13.265625" style="11" customWidth="1"/>
  </cols>
  <sheetData>
    <row r="1" spans="1:9" x14ac:dyDescent="0.4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44" spans="9:19" x14ac:dyDescent="0.4">
      <c r="I44" s="12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9:19" x14ac:dyDescent="0.4">
      <c r="I45" s="12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9:19" x14ac:dyDescent="0.4">
      <c r="I46" s="12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9:19" x14ac:dyDescent="0.4">
      <c r="I47" s="12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9:19" x14ac:dyDescent="0.4">
      <c r="I48" s="12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9:19" x14ac:dyDescent="0.4">
      <c r="I49" s="12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9:19" x14ac:dyDescent="0.4">
      <c r="I50" s="12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9:19" x14ac:dyDescent="0.4">
      <c r="I51" s="12"/>
      <c r="J51" s="3"/>
      <c r="K51" s="3"/>
      <c r="L51" s="3"/>
      <c r="M51" s="3"/>
      <c r="N51" s="3"/>
      <c r="O51" s="3"/>
      <c r="P51" s="3"/>
      <c r="Q51" s="3"/>
      <c r="R51" s="3"/>
      <c r="S51" s="8"/>
    </row>
    <row r="52" spans="9:19" x14ac:dyDescent="0.4">
      <c r="I52" s="12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9:19" x14ac:dyDescent="0.4">
      <c r="I53" s="12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9:19" x14ac:dyDescent="0.4">
      <c r="I54" s="12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9:19" x14ac:dyDescent="0.4">
      <c r="I55" s="12"/>
      <c r="J55" s="8"/>
      <c r="K55" s="8"/>
      <c r="L55" s="8"/>
      <c r="M55" s="8"/>
      <c r="N55" s="8"/>
      <c r="O55" s="8"/>
      <c r="P55" s="8"/>
      <c r="Q55" s="8"/>
      <c r="R55" s="8"/>
      <c r="S55" s="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E257-86CA-4E4F-B96A-B773A9C75386}">
  <dimension ref="A1"/>
  <sheetViews>
    <sheetView workbookViewId="0">
      <selection activeCell="O46" sqref="O46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A6EF-C892-4953-9AA1-6C3A6FC1CD7C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D94-76AE-4238-9078-F14E60A75B59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922E-79BD-490B-A3F1-F5E300E96BD5}">
  <dimension ref="A1"/>
  <sheetViews>
    <sheetView workbookViewId="0">
      <selection activeCell="P37" sqref="P37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Step1仿真参数设定</vt:lpstr>
      <vt:lpstr>Step2电机参数设定</vt:lpstr>
      <vt:lpstr>Step3硬件参数设定</vt:lpstr>
      <vt:lpstr>Step4控制参数设定</vt:lpstr>
      <vt:lpstr>Step5模型控制参数</vt:lpstr>
      <vt:lpstr>Step6枚举变量</vt:lpstr>
      <vt:lpstr>Step7调试变量</vt:lpstr>
      <vt:lpstr>Step8调试接口</vt:lpstr>
      <vt:lpstr>Step9查找表数据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YXuan</dc:creator>
  <cp:lastModifiedBy>晅 杨</cp:lastModifiedBy>
  <dcterms:created xsi:type="dcterms:W3CDTF">2015-06-05T18:19:34Z</dcterms:created>
  <dcterms:modified xsi:type="dcterms:W3CDTF">2026-01-01T05:56:14Z</dcterms:modified>
</cp:coreProperties>
</file>